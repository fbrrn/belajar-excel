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570" windowHeight="8145" firstSheet="2" activeTab="3"/>
  </bookViews>
  <sheets>
    <sheet name="IF SINGLE" sheetId="2" r:id="rId1"/>
    <sheet name="IF BERTINGKAT" sheetId="3" r:id="rId2"/>
    <sheet name="IF dengan LEFT, MID, RIGHT" sheetId="5" r:id="rId3"/>
    <sheet name="IF(AND, OR)" sheetId="1" r:id="rId4"/>
    <sheet name="IF dengan LEFT MID RIGHT" sheetId="4" state="hidden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E4" i="1" l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F3" i="1"/>
  <c r="E3" i="1"/>
  <c r="E3" i="5"/>
  <c r="E4" i="5"/>
  <c r="E5" i="5"/>
  <c r="E6" i="5"/>
  <c r="E7" i="5"/>
  <c r="E8" i="5"/>
  <c r="E9" i="5"/>
  <c r="E10" i="5"/>
  <c r="E11" i="5"/>
  <c r="E2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E11" i="3"/>
  <c r="E10" i="3"/>
  <c r="E9" i="3"/>
  <c r="E8" i="3"/>
  <c r="E7" i="3"/>
  <c r="E6" i="3"/>
  <c r="E5" i="3"/>
  <c r="E4" i="3"/>
  <c r="E3" i="3"/>
  <c r="E2" i="3"/>
  <c r="D3" i="3"/>
  <c r="D4" i="3"/>
  <c r="D5" i="3"/>
  <c r="D6" i="3"/>
  <c r="D7" i="3"/>
  <c r="D8" i="3"/>
  <c r="D9" i="3"/>
  <c r="D10" i="3"/>
  <c r="D11" i="3"/>
  <c r="D2" i="3"/>
  <c r="H3" i="2"/>
  <c r="H4" i="2"/>
  <c r="H5" i="2"/>
  <c r="H6" i="2"/>
  <c r="H7" i="2"/>
  <c r="H8" i="2"/>
  <c r="H9" i="2"/>
  <c r="H10" i="2"/>
  <c r="H11" i="2"/>
  <c r="H2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<sst xmlns="http://schemas.openxmlformats.org/spreadsheetml/2006/main" count="187" uniqueCount="94">
  <si>
    <t>Nama Karyawan</t>
  </si>
  <si>
    <t>Domisili</t>
  </si>
  <si>
    <t>Bulan 1</t>
  </si>
  <si>
    <t>Bulan 2</t>
  </si>
  <si>
    <t>Gaji</t>
  </si>
  <si>
    <t>Komisi</t>
  </si>
  <si>
    <t>Adinda Rahma</t>
  </si>
  <si>
    <t>Bandung</t>
  </si>
  <si>
    <t>Naufal Ilham</t>
  </si>
  <si>
    <t>Jakarta</t>
  </si>
  <si>
    <t>Clara Putri</t>
  </si>
  <si>
    <t>Surabaya</t>
  </si>
  <si>
    <t>Zahra Qonita</t>
  </si>
  <si>
    <t>Kevin Saputra</t>
  </si>
  <si>
    <t>Syifa Maharani</t>
  </si>
  <si>
    <t>Bintang Ramadhan</t>
  </si>
  <si>
    <t>Reza Alfarizi</t>
  </si>
  <si>
    <t>Informasi:</t>
  </si>
  <si>
    <t>Produk</t>
  </si>
  <si>
    <t>Kode Barang</t>
  </si>
  <si>
    <t>Modal</t>
  </si>
  <si>
    <t>Harga</t>
  </si>
  <si>
    <t>Stok</t>
  </si>
  <si>
    <t>Untung/rugi?</t>
  </si>
  <si>
    <t>Status Stok</t>
  </si>
  <si>
    <t>Murah/Mahal?</t>
  </si>
  <si>
    <t>Headset Bluetooth</t>
  </si>
  <si>
    <t>EL01</t>
  </si>
  <si>
    <t>Pulpen Gel Hitam</t>
  </si>
  <si>
    <t>AT01</t>
  </si>
  <si>
    <t>Meja Belajar Lipat</t>
  </si>
  <si>
    <t>FM01</t>
  </si>
  <si>
    <t>Tas Ransel Kanvas</t>
  </si>
  <si>
    <t>FK01</t>
  </si>
  <si>
    <t>Lampu Meja LED</t>
  </si>
  <si>
    <t>EL02</t>
  </si>
  <si>
    <t>Power Bank 10.000mAh</t>
  </si>
  <si>
    <t>EL03</t>
  </si>
  <si>
    <t>Botol Minum Stainless</t>
  </si>
  <si>
    <t>RT01</t>
  </si>
  <si>
    <t>Kursi Lipat Serbaguna</t>
  </si>
  <si>
    <t>FM02</t>
  </si>
  <si>
    <t>Tempat Pensil Transparan</t>
  </si>
  <si>
    <t>AT02</t>
  </si>
  <si>
    <t>Notebook A5 Premium</t>
  </si>
  <si>
    <t>AT03</t>
  </si>
  <si>
    <t>Keterangan:</t>
  </si>
  <si>
    <t>Jika harga jual &gt; modal, maka untung. Jika harga jual &lt;= modal, maka rugi.</t>
  </si>
  <si>
    <t>Jika stok di bawah 60 pcs, harus Restock. Jika stok sama atau di atas 60, maka stok Aman.</t>
  </si>
  <si>
    <t>Murah &lt;</t>
  </si>
  <si>
    <t>Mahal &gt;=</t>
  </si>
  <si>
    <t>Murah</t>
  </si>
  <si>
    <t>Mahal</t>
  </si>
  <si>
    <t>Nama Customer</t>
  </si>
  <si>
    <t>Total Spending</t>
  </si>
  <si>
    <t>Status Customer</t>
  </si>
  <si>
    <t>Lama Kirim</t>
  </si>
  <si>
    <t>Lama Pengiriman</t>
  </si>
  <si>
    <t>1 hari</t>
  </si>
  <si>
    <t>2 hari</t>
  </si>
  <si>
    <t>3 hari</t>
  </si>
  <si>
    <t>Fadli Nugraha</t>
  </si>
  <si>
    <t>Livia Oktaviani</t>
  </si>
  <si>
    <t>Jika spending di bawah 2 juta, maka status customer adalah Silver</t>
  </si>
  <si>
    <t>Jika spending antara 2-5 juta, maka status customer adalah Gold</t>
  </si>
  <si>
    <t>Jika spending di atas 5 juta, maka status customer adalah Platinum</t>
  </si>
  <si>
    <t>ID Karyawan</t>
  </si>
  <si>
    <t>Divisi</t>
  </si>
  <si>
    <t>Benefit</t>
  </si>
  <si>
    <t>Gender</t>
  </si>
  <si>
    <t>Kode Divisi</t>
  </si>
  <si>
    <t>SA2019P</t>
  </si>
  <si>
    <t>SA</t>
  </si>
  <si>
    <t>Sales</t>
  </si>
  <si>
    <t>MK</t>
  </si>
  <si>
    <t>Marketing</t>
  </si>
  <si>
    <t>MK2020L</t>
  </si>
  <si>
    <t>MK2019P</t>
  </si>
  <si>
    <t>Kode Gender</t>
  </si>
  <si>
    <t>MK2020P</t>
  </si>
  <si>
    <t>L</t>
  </si>
  <si>
    <t>Laki-laki</t>
  </si>
  <si>
    <t>SA2020P</t>
  </si>
  <si>
    <t>P</t>
  </si>
  <si>
    <t>Perempuan</t>
  </si>
  <si>
    <t>SA2019L</t>
  </si>
  <si>
    <t>Divisi mengacu pada 2 huruf pertama di ID Karyawan</t>
  </si>
  <si>
    <t>Tahun masuk mengacu pada 4 karakter di tengah, dimulai dari karakter ketiga.</t>
  </si>
  <si>
    <t>Jika masuk di tahun 2019, maka benefit Lengkap. Jika tidak, Tidak Lengkap.</t>
  </si>
  <si>
    <t>Jenis kelamin mengacu pada karakter terakhir di ID Karyawan.</t>
  </si>
  <si>
    <t>Performa</t>
  </si>
  <si>
    <t>Performa "Baik" jika penjualan di 2 bulan selalu di atas Rp. 20 juta, jika tidak maka performa "Buruk".</t>
  </si>
  <si>
    <t>Gaji 4 juta jika domisili di Bandung atau Surabaya, sedangkan 5 juta jika di Jakarta.</t>
  </si>
  <si>
    <t>Komisi sebesar 15% jika total penjualan di atas Rp. 40 juta, jika tidak maka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</si>
</sst>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Rp-421]* #,##0_-;\-[$Rp-421]* #,##0_-;_-[$Rp-421]* &quot;-&quot;??_-;_-@_-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2" fillId="0" borderId="0" xfId="0" applyFont="1" applyAlignment="1">
      <alignment vertical="center"/>
    </xf>
    <xf numFmtId="164" fontId="3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G2" sqref="G2"/>
    </sheetView>
  </sheetViews>
  <sheetFormatPr defaultRowHeight="15" x14ac:dyDescent="0.25"/>
  <cols>
    <col min="1" max="1" width="24.140625" bestFit="1" customWidth="1"/>
    <col min="2" max="2" width="12" customWidth="1"/>
    <col min="3" max="4" width="12.85546875" customWidth="1"/>
    <col min="5" max="5" width="4.85546875" customWidth="1"/>
    <col min="6" max="6" width="12.85546875" bestFit="1" customWidth="1"/>
    <col min="7" max="7" width="10.7109375" customWidth="1"/>
    <col min="8" max="8" width="14.42578125" customWidth="1"/>
  </cols>
  <sheetData>
    <row r="1" spans="1:8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</row>
    <row r="2" spans="1:8" x14ac:dyDescent="0.25">
      <c r="A2" s="5" t="s">
        <v>26</v>
      </c>
      <c r="B2" s="6" t="s">
        <v>27</v>
      </c>
      <c r="C2" s="7">
        <v>77000</v>
      </c>
      <c r="D2" s="7">
        <v>75000</v>
      </c>
      <c r="E2" s="8">
        <v>81</v>
      </c>
      <c r="F2" s="5" t="str">
        <f>IF(D2&gt;C2, "Untung", "Rugi")</f>
        <v>Rugi</v>
      </c>
      <c r="G2" s="5" t="str">
        <f>IF(E2&lt;60, "Restock", "Aman")</f>
        <v>Aman</v>
      </c>
      <c r="H2" s="5" t="str">
        <f>IF(D2&lt;$B$17,$C$17,$C$18)</f>
        <v>Mahal</v>
      </c>
    </row>
    <row r="3" spans="1:8" x14ac:dyDescent="0.25">
      <c r="A3" s="5" t="s">
        <v>28</v>
      </c>
      <c r="B3" s="6" t="s">
        <v>29</v>
      </c>
      <c r="C3" s="7">
        <v>23000</v>
      </c>
      <c r="D3" s="7">
        <v>25000</v>
      </c>
      <c r="E3" s="8">
        <v>80</v>
      </c>
      <c r="F3" s="5" t="str">
        <f t="shared" ref="F3:F11" si="0">IF(D3&gt;C3, "Untung", "Rugi")</f>
        <v>Untung</v>
      </c>
      <c r="G3" s="5" t="str">
        <f t="shared" ref="G3:G11" si="1">IF(E3&lt;60, "Restock", "Aman")</f>
        <v>Aman</v>
      </c>
      <c r="H3" s="5" t="str">
        <f t="shared" ref="H3:H11" si="2">IF(D3&lt;$B$17,$C$17,$C$18)</f>
        <v>Murah</v>
      </c>
    </row>
    <row r="4" spans="1:8" x14ac:dyDescent="0.25">
      <c r="A4" s="5" t="s">
        <v>30</v>
      </c>
      <c r="B4" s="6" t="s">
        <v>31</v>
      </c>
      <c r="C4" s="7">
        <v>88000</v>
      </c>
      <c r="D4" s="7">
        <v>99000</v>
      </c>
      <c r="E4" s="8">
        <v>22</v>
      </c>
      <c r="F4" s="5" t="str">
        <f t="shared" si="0"/>
        <v>Untung</v>
      </c>
      <c r="G4" s="5" t="str">
        <f t="shared" si="1"/>
        <v>Restock</v>
      </c>
      <c r="H4" s="5" t="str">
        <f t="shared" si="2"/>
        <v>Mahal</v>
      </c>
    </row>
    <row r="5" spans="1:8" x14ac:dyDescent="0.25">
      <c r="A5" s="5" t="s">
        <v>32</v>
      </c>
      <c r="B5" s="6" t="s">
        <v>33</v>
      </c>
      <c r="C5" s="7">
        <v>52000</v>
      </c>
      <c r="D5" s="7">
        <v>67000</v>
      </c>
      <c r="E5" s="8">
        <v>58</v>
      </c>
      <c r="F5" s="5" t="str">
        <f t="shared" si="0"/>
        <v>Untung</v>
      </c>
      <c r="G5" s="5" t="str">
        <f t="shared" si="1"/>
        <v>Restock</v>
      </c>
      <c r="H5" s="5" t="str">
        <f t="shared" si="2"/>
        <v>Murah</v>
      </c>
    </row>
    <row r="6" spans="1:8" x14ac:dyDescent="0.25">
      <c r="A6" s="5" t="s">
        <v>34</v>
      </c>
      <c r="B6" s="6" t="s">
        <v>35</v>
      </c>
      <c r="C6" s="7">
        <v>46000</v>
      </c>
      <c r="D6" s="7">
        <v>49000</v>
      </c>
      <c r="E6" s="8">
        <v>73</v>
      </c>
      <c r="F6" s="5" t="str">
        <f t="shared" si="0"/>
        <v>Untung</v>
      </c>
      <c r="G6" s="5" t="str">
        <f t="shared" si="1"/>
        <v>Aman</v>
      </c>
      <c r="H6" s="5" t="str">
        <f t="shared" si="2"/>
        <v>Murah</v>
      </c>
    </row>
    <row r="7" spans="1:8" x14ac:dyDescent="0.25">
      <c r="A7" s="5" t="s">
        <v>36</v>
      </c>
      <c r="B7" s="6" t="s">
        <v>37</v>
      </c>
      <c r="C7" s="7">
        <v>79000</v>
      </c>
      <c r="D7" s="7">
        <v>85000</v>
      </c>
      <c r="E7" s="8">
        <v>73</v>
      </c>
      <c r="F7" s="5" t="str">
        <f t="shared" si="0"/>
        <v>Untung</v>
      </c>
      <c r="G7" s="5" t="str">
        <f t="shared" si="1"/>
        <v>Aman</v>
      </c>
      <c r="H7" s="5" t="str">
        <f t="shared" si="2"/>
        <v>Mahal</v>
      </c>
    </row>
    <row r="8" spans="1:8" x14ac:dyDescent="0.25">
      <c r="A8" s="5" t="s">
        <v>38</v>
      </c>
      <c r="B8" s="6" t="s">
        <v>39</v>
      </c>
      <c r="C8" s="7">
        <v>35000</v>
      </c>
      <c r="D8" s="7">
        <v>55000</v>
      </c>
      <c r="E8" s="8">
        <v>13</v>
      </c>
      <c r="F8" s="5" t="str">
        <f t="shared" si="0"/>
        <v>Untung</v>
      </c>
      <c r="G8" s="5" t="str">
        <f t="shared" si="1"/>
        <v>Restock</v>
      </c>
      <c r="H8" s="5" t="str">
        <f t="shared" si="2"/>
        <v>Murah</v>
      </c>
    </row>
    <row r="9" spans="1:8" x14ac:dyDescent="0.25">
      <c r="A9" s="5" t="s">
        <v>40</v>
      </c>
      <c r="B9" s="6" t="s">
        <v>41</v>
      </c>
      <c r="C9" s="7">
        <v>95000</v>
      </c>
      <c r="D9" s="7">
        <v>97000</v>
      </c>
      <c r="E9" s="8">
        <v>59</v>
      </c>
      <c r="F9" s="5" t="str">
        <f t="shared" si="0"/>
        <v>Untung</v>
      </c>
      <c r="G9" s="5" t="str">
        <f t="shared" si="1"/>
        <v>Restock</v>
      </c>
      <c r="H9" s="5" t="str">
        <f t="shared" si="2"/>
        <v>Mahal</v>
      </c>
    </row>
    <row r="10" spans="1:8" x14ac:dyDescent="0.25">
      <c r="A10" s="5" t="s">
        <v>42</v>
      </c>
      <c r="B10" s="6" t="s">
        <v>43</v>
      </c>
      <c r="C10" s="7">
        <v>40000</v>
      </c>
      <c r="D10" s="7">
        <v>38000</v>
      </c>
      <c r="E10" s="8">
        <v>117</v>
      </c>
      <c r="F10" s="5" t="str">
        <f t="shared" si="0"/>
        <v>Rugi</v>
      </c>
      <c r="G10" s="5" t="str">
        <f t="shared" si="1"/>
        <v>Aman</v>
      </c>
      <c r="H10" s="5" t="str">
        <f t="shared" si="2"/>
        <v>Murah</v>
      </c>
    </row>
    <row r="11" spans="1:8" x14ac:dyDescent="0.25">
      <c r="A11" s="5" t="s">
        <v>44</v>
      </c>
      <c r="B11" s="6" t="s">
        <v>45</v>
      </c>
      <c r="C11" s="7">
        <v>69000</v>
      </c>
      <c r="D11" s="7">
        <v>42000</v>
      </c>
      <c r="E11" s="8">
        <v>63</v>
      </c>
      <c r="F11" s="5" t="str">
        <f t="shared" si="0"/>
        <v>Rugi</v>
      </c>
      <c r="G11" s="5" t="str">
        <f t="shared" si="1"/>
        <v>Aman</v>
      </c>
      <c r="H11" s="5" t="str">
        <f t="shared" si="2"/>
        <v>Murah</v>
      </c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ht="30" x14ac:dyDescent="0.25">
      <c r="A13" s="2" t="s">
        <v>46</v>
      </c>
      <c r="B13" s="1"/>
      <c r="C13" s="1"/>
      <c r="D13" s="1"/>
      <c r="E13" s="1"/>
      <c r="F13" s="1"/>
      <c r="G13" s="1"/>
      <c r="H13" s="1"/>
    </row>
    <row r="14" spans="1:8" x14ac:dyDescent="0.25">
      <c r="A14" s="3" t="s">
        <v>47</v>
      </c>
      <c r="B14" s="1"/>
      <c r="C14" s="1"/>
      <c r="D14" s="1"/>
      <c r="E14" s="1"/>
      <c r="F14" s="1"/>
      <c r="G14" s="1"/>
      <c r="H14" s="1"/>
    </row>
    <row r="15" spans="1:8" x14ac:dyDescent="0.25">
      <c r="A15" s="3" t="s">
        <v>48</v>
      </c>
      <c r="B15" s="1"/>
      <c r="C15" s="1"/>
      <c r="D15" s="1"/>
      <c r="E15" s="1"/>
      <c r="F15" s="1"/>
      <c r="G15" s="1"/>
      <c r="H15" s="1"/>
    </row>
    <row r="16" spans="1:8" x14ac:dyDescent="0.25">
      <c r="A16" s="9"/>
      <c r="B16" s="9"/>
      <c r="C16" s="1"/>
      <c r="D16" s="1"/>
      <c r="E16" s="1"/>
      <c r="F16" s="1"/>
      <c r="G16" s="1"/>
      <c r="H16" s="1"/>
    </row>
    <row r="17" spans="1:8" x14ac:dyDescent="0.25">
      <c r="A17" s="10" t="s">
        <v>49</v>
      </c>
      <c r="B17" s="11">
        <v>70000</v>
      </c>
      <c r="C17" s="1" t="s">
        <v>51</v>
      </c>
      <c r="D17" s="1"/>
      <c r="E17" s="1"/>
      <c r="F17" s="1"/>
      <c r="G17" s="1"/>
      <c r="H17" s="1"/>
    </row>
    <row r="18" spans="1:8" x14ac:dyDescent="0.25">
      <c r="A18" s="10" t="s">
        <v>50</v>
      </c>
      <c r="B18" s="11">
        <v>50000</v>
      </c>
      <c r="C18" s="1" t="s">
        <v>52</v>
      </c>
      <c r="D18" s="1"/>
      <c r="E18" s="1"/>
      <c r="F18" s="1"/>
      <c r="G18" s="1"/>
      <c r="H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2" sqref="E2:E11"/>
    </sheetView>
  </sheetViews>
  <sheetFormatPr defaultRowHeight="15" x14ac:dyDescent="0.25"/>
  <cols>
    <col min="1" max="1" width="17.7109375" bestFit="1" customWidth="1"/>
    <col min="2" max="2" width="15.5703125" bestFit="1" customWidth="1"/>
    <col min="3" max="3" width="9" customWidth="1"/>
    <col min="4" max="4" width="15.5703125" bestFit="1" customWidth="1"/>
    <col min="5" max="5" width="10.7109375" bestFit="1" customWidth="1"/>
    <col min="7" max="7" width="9" customWidth="1"/>
    <col min="8" max="8" width="16.28515625" bestFit="1" customWidth="1"/>
  </cols>
  <sheetData>
    <row r="1" spans="1:8" x14ac:dyDescent="0.25">
      <c r="A1" s="14" t="s">
        <v>53</v>
      </c>
      <c r="B1" s="14" t="s">
        <v>54</v>
      </c>
      <c r="C1" s="14" t="s">
        <v>1</v>
      </c>
      <c r="D1" s="14" t="s">
        <v>55</v>
      </c>
      <c r="E1" s="14" t="s">
        <v>56</v>
      </c>
      <c r="F1" s="15"/>
      <c r="G1" s="14" t="s">
        <v>1</v>
      </c>
      <c r="H1" s="14" t="s">
        <v>57</v>
      </c>
    </row>
    <row r="2" spans="1:8" x14ac:dyDescent="0.25">
      <c r="A2" s="5" t="s">
        <v>6</v>
      </c>
      <c r="B2" s="7">
        <v>3610155</v>
      </c>
      <c r="C2" s="5" t="s">
        <v>7</v>
      </c>
      <c r="D2" s="5" t="str">
        <f>IF(B2&lt;2000000,"Silver", IF(B2&lt;5000000,"Gold","Platinum"))</f>
        <v>Gold</v>
      </c>
      <c r="E2" s="5" t="str">
        <f>IF(C2=$G$2,$H$2, IF(C2=$G$3,$H$3, $H$4))</f>
        <v>2 hari</v>
      </c>
      <c r="F2" s="15"/>
      <c r="G2" s="5" t="s">
        <v>9</v>
      </c>
      <c r="H2" s="5" t="s">
        <v>58</v>
      </c>
    </row>
    <row r="3" spans="1:8" x14ac:dyDescent="0.25">
      <c r="A3" s="5" t="s">
        <v>8</v>
      </c>
      <c r="B3" s="7">
        <v>6017983</v>
      </c>
      <c r="C3" s="5" t="s">
        <v>9</v>
      </c>
      <c r="D3" s="5" t="str">
        <f t="shared" ref="D3:D11" si="0">IF(B3&lt;2000000,"Silver", IF(B3&lt;5000000,"Gold","Platinum"))</f>
        <v>Platinum</v>
      </c>
      <c r="E3" s="5" t="str">
        <f t="shared" ref="E3:E11" si="1">IF(C3=$G$2,$H$2, IF(C3=$G$3,$H$3, $H$4))</f>
        <v>1 hari</v>
      </c>
      <c r="F3" s="15"/>
      <c r="G3" s="5" t="s">
        <v>7</v>
      </c>
      <c r="H3" s="5" t="s">
        <v>59</v>
      </c>
    </row>
    <row r="4" spans="1:8" x14ac:dyDescent="0.25">
      <c r="A4" s="5" t="s">
        <v>10</v>
      </c>
      <c r="B4" s="7">
        <v>1393027</v>
      </c>
      <c r="C4" s="5" t="s">
        <v>11</v>
      </c>
      <c r="D4" s="5" t="str">
        <f t="shared" si="0"/>
        <v>Silver</v>
      </c>
      <c r="E4" s="5" t="str">
        <f t="shared" si="1"/>
        <v>3 hari</v>
      </c>
      <c r="F4" s="15"/>
      <c r="G4" s="5" t="s">
        <v>11</v>
      </c>
      <c r="H4" s="5" t="s">
        <v>60</v>
      </c>
    </row>
    <row r="5" spans="1:8" x14ac:dyDescent="0.25">
      <c r="A5" s="5" t="s">
        <v>61</v>
      </c>
      <c r="B5" s="7">
        <v>2996053</v>
      </c>
      <c r="C5" s="5" t="s">
        <v>9</v>
      </c>
      <c r="D5" s="5" t="str">
        <f t="shared" si="0"/>
        <v>Gold</v>
      </c>
      <c r="E5" s="5" t="str">
        <f t="shared" si="1"/>
        <v>1 hari</v>
      </c>
      <c r="F5" s="13"/>
      <c r="G5" s="13"/>
      <c r="H5" s="13"/>
    </row>
    <row r="6" spans="1:8" x14ac:dyDescent="0.25">
      <c r="A6" s="5" t="s">
        <v>12</v>
      </c>
      <c r="B6" s="7">
        <v>2036929</v>
      </c>
      <c r="C6" s="5" t="s">
        <v>7</v>
      </c>
      <c r="D6" s="5" t="str">
        <f t="shared" si="0"/>
        <v>Gold</v>
      </c>
      <c r="E6" s="5" t="str">
        <f t="shared" si="1"/>
        <v>2 hari</v>
      </c>
      <c r="F6" s="13"/>
      <c r="G6" s="13"/>
      <c r="H6" s="13"/>
    </row>
    <row r="7" spans="1:8" x14ac:dyDescent="0.25">
      <c r="A7" s="5" t="s">
        <v>13</v>
      </c>
      <c r="B7" s="7">
        <v>6317758</v>
      </c>
      <c r="C7" s="5" t="s">
        <v>11</v>
      </c>
      <c r="D7" s="5" t="str">
        <f t="shared" si="0"/>
        <v>Platinum</v>
      </c>
      <c r="E7" s="5" t="str">
        <f t="shared" si="1"/>
        <v>3 hari</v>
      </c>
      <c r="F7" s="13"/>
      <c r="G7" s="13"/>
      <c r="H7" s="13"/>
    </row>
    <row r="8" spans="1:8" x14ac:dyDescent="0.25">
      <c r="A8" s="5" t="s">
        <v>14</v>
      </c>
      <c r="B8" s="7">
        <v>4796498</v>
      </c>
      <c r="C8" s="5" t="s">
        <v>9</v>
      </c>
      <c r="D8" s="5" t="str">
        <f t="shared" si="0"/>
        <v>Gold</v>
      </c>
      <c r="E8" s="5" t="str">
        <f t="shared" si="1"/>
        <v>1 hari</v>
      </c>
      <c r="F8" s="13"/>
      <c r="G8" s="13"/>
      <c r="H8" s="13"/>
    </row>
    <row r="9" spans="1:8" x14ac:dyDescent="0.25">
      <c r="A9" s="5" t="s">
        <v>15</v>
      </c>
      <c r="B9" s="7">
        <v>3426814</v>
      </c>
      <c r="C9" s="5" t="s">
        <v>11</v>
      </c>
      <c r="D9" s="5" t="str">
        <f t="shared" si="0"/>
        <v>Gold</v>
      </c>
      <c r="E9" s="5" t="str">
        <f t="shared" si="1"/>
        <v>3 hari</v>
      </c>
      <c r="F9" s="13"/>
      <c r="G9" s="13"/>
      <c r="H9" s="13"/>
    </row>
    <row r="10" spans="1:8" x14ac:dyDescent="0.25">
      <c r="A10" s="5" t="s">
        <v>62</v>
      </c>
      <c r="B10" s="7">
        <v>5731873</v>
      </c>
      <c r="C10" s="5" t="s">
        <v>9</v>
      </c>
      <c r="D10" s="5" t="str">
        <f t="shared" si="0"/>
        <v>Platinum</v>
      </c>
      <c r="E10" s="5" t="str">
        <f t="shared" si="1"/>
        <v>1 hari</v>
      </c>
      <c r="F10" s="13"/>
      <c r="G10" s="13"/>
      <c r="H10" s="13"/>
    </row>
    <row r="11" spans="1:8" x14ac:dyDescent="0.25">
      <c r="A11" s="5" t="s">
        <v>16</v>
      </c>
      <c r="B11" s="7">
        <v>1760000</v>
      </c>
      <c r="C11" s="5" t="s">
        <v>9</v>
      </c>
      <c r="D11" s="5" t="str">
        <f t="shared" si="0"/>
        <v>Silver</v>
      </c>
      <c r="E11" s="5" t="str">
        <f t="shared" si="1"/>
        <v>1 hari</v>
      </c>
      <c r="F11" s="13"/>
      <c r="G11" s="13"/>
      <c r="H11" s="13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ht="30" x14ac:dyDescent="0.25">
      <c r="A13" s="12" t="s">
        <v>17</v>
      </c>
      <c r="B13" s="1"/>
      <c r="C13" s="1"/>
      <c r="D13" s="1"/>
      <c r="E13" s="1"/>
      <c r="F13" s="1"/>
      <c r="G13" s="1"/>
      <c r="H13" s="1"/>
    </row>
    <row r="14" spans="1:8" x14ac:dyDescent="0.25">
      <c r="A14" s="3" t="s">
        <v>63</v>
      </c>
      <c r="B14" s="1"/>
      <c r="C14" s="1"/>
      <c r="D14" s="1"/>
      <c r="E14" s="1"/>
      <c r="F14" s="1"/>
      <c r="G14" s="1"/>
      <c r="H14" s="1"/>
    </row>
    <row r="15" spans="1:8" x14ac:dyDescent="0.25">
      <c r="A15" s="3" t="s">
        <v>64</v>
      </c>
      <c r="B15" s="1"/>
      <c r="C15" s="1"/>
      <c r="D15" s="1"/>
      <c r="E15" s="1"/>
      <c r="F15" s="1"/>
      <c r="G15" s="1"/>
      <c r="H15" s="1"/>
    </row>
    <row r="16" spans="1:8" x14ac:dyDescent="0.25">
      <c r="A16" s="3" t="s">
        <v>65</v>
      </c>
      <c r="B16" s="1"/>
      <c r="C16" s="1"/>
      <c r="D16" s="1"/>
      <c r="E16" s="1"/>
      <c r="F16" s="1"/>
      <c r="G16" s="1"/>
      <c r="H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D5" sqref="A1:E11"/>
    </sheetView>
  </sheetViews>
  <sheetFormatPr defaultRowHeight="15" x14ac:dyDescent="0.25"/>
  <cols>
    <col min="1" max="1" width="17.7109375" bestFit="1" customWidth="1"/>
    <col min="2" max="2" width="11.85546875" bestFit="1" customWidth="1"/>
    <col min="3" max="3" width="10" customWidth="1"/>
    <col min="4" max="4" width="13.5703125" customWidth="1"/>
    <col min="5" max="5" width="11.28515625" customWidth="1"/>
    <col min="7" max="7" width="12.7109375" bestFit="1" customWidth="1"/>
    <col min="8" max="8" width="11.28515625" bestFit="1" customWidth="1"/>
  </cols>
  <sheetData>
    <row r="1" spans="1:8" x14ac:dyDescent="0.25">
      <c r="A1" s="14" t="s">
        <v>0</v>
      </c>
      <c r="B1" s="14" t="s">
        <v>66</v>
      </c>
      <c r="C1" s="14" t="s">
        <v>67</v>
      </c>
      <c r="D1" s="14" t="s">
        <v>68</v>
      </c>
      <c r="E1" s="14" t="s">
        <v>69</v>
      </c>
      <c r="F1" s="15"/>
      <c r="G1" s="14" t="s">
        <v>70</v>
      </c>
      <c r="H1" s="14" t="s">
        <v>67</v>
      </c>
    </row>
    <row r="2" spans="1:8" x14ac:dyDescent="0.25">
      <c r="A2" s="5" t="s">
        <v>6</v>
      </c>
      <c r="B2" s="5" t="s">
        <v>71</v>
      </c>
      <c r="C2" s="5" t="str">
        <f>IF(LEFT(B2,2)=$G$2, $H$2, $H$3)</f>
        <v>Sales</v>
      </c>
      <c r="D2" s="5" t="str">
        <f>IF(MID(B2, 3,4)="2019", "Lengkap", "Tidak Lengkap")</f>
        <v>Lengkap</v>
      </c>
      <c r="E2" s="5" t="str">
        <f>IF(RIGHT(B2,1) = $G$7,$H$7,$H$8)</f>
        <v>Perempuan</v>
      </c>
      <c r="F2" s="15"/>
      <c r="G2" s="5" t="s">
        <v>72</v>
      </c>
      <c r="H2" s="5" t="s">
        <v>73</v>
      </c>
    </row>
    <row r="3" spans="1:8" x14ac:dyDescent="0.25">
      <c r="A3" s="5" t="s">
        <v>8</v>
      </c>
      <c r="B3" s="5" t="s">
        <v>71</v>
      </c>
      <c r="C3" s="5" t="str">
        <f t="shared" ref="C3:C11" si="0">IF(LEFT(B3,2)=$G$2, $H$2, $H$3)</f>
        <v>Sales</v>
      </c>
      <c r="D3" s="5" t="str">
        <f t="shared" ref="D3:D11" si="1">IF(MID(B3, 3,4)="2019", "Lengkap", "Tidak Lengkap")</f>
        <v>Lengkap</v>
      </c>
      <c r="E3" s="5" t="str">
        <f t="shared" ref="E3:E11" si="2">IF(RIGHT(B3,1) = $G$7,$H$7,$H$8)</f>
        <v>Perempuan</v>
      </c>
      <c r="F3" s="15"/>
      <c r="G3" s="5" t="s">
        <v>74</v>
      </c>
      <c r="H3" s="5" t="s">
        <v>75</v>
      </c>
    </row>
    <row r="4" spans="1:8" x14ac:dyDescent="0.25">
      <c r="A4" s="5" t="s">
        <v>10</v>
      </c>
      <c r="B4" s="5" t="s">
        <v>76</v>
      </c>
      <c r="C4" s="5" t="str">
        <f t="shared" si="0"/>
        <v>Marketing</v>
      </c>
      <c r="D4" s="5" t="str">
        <f t="shared" si="1"/>
        <v>Tidak Lengkap</v>
      </c>
      <c r="E4" s="5" t="str">
        <f t="shared" si="2"/>
        <v>Laki-laki</v>
      </c>
      <c r="F4" s="13"/>
      <c r="G4" s="13"/>
      <c r="H4" s="13"/>
    </row>
    <row r="5" spans="1:8" x14ac:dyDescent="0.25">
      <c r="A5" s="5" t="s">
        <v>61</v>
      </c>
      <c r="B5" s="5" t="s">
        <v>71</v>
      </c>
      <c r="C5" s="5" t="str">
        <f t="shared" si="0"/>
        <v>Sales</v>
      </c>
      <c r="D5" s="5" t="str">
        <f t="shared" si="1"/>
        <v>Lengkap</v>
      </c>
      <c r="E5" s="5" t="str">
        <f t="shared" si="2"/>
        <v>Perempuan</v>
      </c>
      <c r="F5" s="13"/>
      <c r="G5" s="15"/>
      <c r="H5" s="15"/>
    </row>
    <row r="6" spans="1:8" x14ac:dyDescent="0.25">
      <c r="A6" s="5" t="s">
        <v>12</v>
      </c>
      <c r="B6" s="5" t="s">
        <v>77</v>
      </c>
      <c r="C6" s="5" t="str">
        <f t="shared" si="0"/>
        <v>Marketing</v>
      </c>
      <c r="D6" s="5" t="str">
        <f t="shared" si="1"/>
        <v>Lengkap</v>
      </c>
      <c r="E6" s="5" t="str">
        <f t="shared" si="2"/>
        <v>Perempuan</v>
      </c>
      <c r="F6" s="15"/>
      <c r="G6" s="14" t="s">
        <v>78</v>
      </c>
      <c r="H6" s="14" t="s">
        <v>69</v>
      </c>
    </row>
    <row r="7" spans="1:8" x14ac:dyDescent="0.25">
      <c r="A7" s="5" t="s">
        <v>13</v>
      </c>
      <c r="B7" s="5" t="s">
        <v>79</v>
      </c>
      <c r="C7" s="5" t="str">
        <f t="shared" si="0"/>
        <v>Marketing</v>
      </c>
      <c r="D7" s="5" t="str">
        <f t="shared" si="1"/>
        <v>Tidak Lengkap</v>
      </c>
      <c r="E7" s="5" t="str">
        <f t="shared" si="2"/>
        <v>Perempuan</v>
      </c>
      <c r="F7" s="15"/>
      <c r="G7" s="5" t="s">
        <v>80</v>
      </c>
      <c r="H7" s="5" t="s">
        <v>81</v>
      </c>
    </row>
    <row r="8" spans="1:8" x14ac:dyDescent="0.25">
      <c r="A8" s="5" t="s">
        <v>14</v>
      </c>
      <c r="B8" s="5" t="s">
        <v>82</v>
      </c>
      <c r="C8" s="5" t="str">
        <f t="shared" si="0"/>
        <v>Sales</v>
      </c>
      <c r="D8" s="5" t="str">
        <f t="shared" si="1"/>
        <v>Tidak Lengkap</v>
      </c>
      <c r="E8" s="5" t="str">
        <f t="shared" si="2"/>
        <v>Perempuan</v>
      </c>
      <c r="F8" s="15"/>
      <c r="G8" s="5" t="s">
        <v>83</v>
      </c>
      <c r="H8" s="5" t="s">
        <v>84</v>
      </c>
    </row>
    <row r="9" spans="1:8" x14ac:dyDescent="0.25">
      <c r="A9" s="5" t="s">
        <v>15</v>
      </c>
      <c r="B9" s="5" t="s">
        <v>77</v>
      </c>
      <c r="C9" s="5" t="str">
        <f t="shared" si="0"/>
        <v>Marketing</v>
      </c>
      <c r="D9" s="5" t="str">
        <f t="shared" si="1"/>
        <v>Lengkap</v>
      </c>
      <c r="E9" s="5" t="str">
        <f t="shared" si="2"/>
        <v>Perempuan</v>
      </c>
      <c r="F9" s="13"/>
      <c r="G9" s="13"/>
      <c r="H9" s="13"/>
    </row>
    <row r="10" spans="1:8" x14ac:dyDescent="0.25">
      <c r="A10" s="5" t="s">
        <v>62</v>
      </c>
      <c r="B10" s="5" t="s">
        <v>76</v>
      </c>
      <c r="C10" s="5" t="str">
        <f t="shared" si="0"/>
        <v>Marketing</v>
      </c>
      <c r="D10" s="5" t="str">
        <f t="shared" si="1"/>
        <v>Tidak Lengkap</v>
      </c>
      <c r="E10" s="5" t="str">
        <f t="shared" si="2"/>
        <v>Laki-laki</v>
      </c>
      <c r="F10" s="13"/>
      <c r="G10" s="13"/>
      <c r="H10" s="13"/>
    </row>
    <row r="11" spans="1:8" x14ac:dyDescent="0.25">
      <c r="A11" s="5" t="s">
        <v>16</v>
      </c>
      <c r="B11" s="5" t="s">
        <v>85</v>
      </c>
      <c r="C11" s="5" t="str">
        <f t="shared" si="0"/>
        <v>Sales</v>
      </c>
      <c r="D11" s="5" t="str">
        <f t="shared" si="1"/>
        <v>Lengkap</v>
      </c>
      <c r="E11" s="5" t="str">
        <f t="shared" si="2"/>
        <v>Laki-laki</v>
      </c>
      <c r="F11" s="13"/>
      <c r="G11" s="13"/>
      <c r="H11" s="13"/>
    </row>
    <row r="12" spans="1:8" x14ac:dyDescent="0.25">
      <c r="A12" s="13"/>
      <c r="B12" s="13"/>
      <c r="C12" s="13"/>
      <c r="D12" s="13"/>
      <c r="E12" s="13"/>
      <c r="F12" s="13"/>
      <c r="G12" s="13"/>
      <c r="H12" s="13"/>
    </row>
    <row r="13" spans="1:8" x14ac:dyDescent="0.25">
      <c r="A13" s="16" t="s">
        <v>17</v>
      </c>
      <c r="B13" s="13"/>
      <c r="C13" s="13"/>
      <c r="D13" s="13"/>
      <c r="E13" s="13"/>
      <c r="F13" s="13"/>
      <c r="G13" s="13"/>
      <c r="H13" s="13"/>
    </row>
    <row r="14" spans="1:8" x14ac:dyDescent="0.25">
      <c r="A14" s="3" t="s">
        <v>86</v>
      </c>
      <c r="B14" s="13"/>
      <c r="C14" s="13"/>
      <c r="D14" s="13"/>
      <c r="E14" s="13"/>
      <c r="F14" s="13"/>
      <c r="G14" s="13"/>
      <c r="H14" s="13"/>
    </row>
    <row r="15" spans="1:8" x14ac:dyDescent="0.25">
      <c r="A15" s="3" t="s">
        <v>87</v>
      </c>
      <c r="B15" s="13"/>
      <c r="C15" s="13"/>
      <c r="D15" s="13"/>
      <c r="E15" s="13"/>
      <c r="F15" s="13"/>
      <c r="G15" s="13"/>
      <c r="H15" s="13"/>
    </row>
    <row r="16" spans="1:8" x14ac:dyDescent="0.25">
      <c r="A16" s="3" t="s">
        <v>88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3" t="s">
        <v>89</v>
      </c>
      <c r="B17" s="13"/>
      <c r="C17" s="13"/>
      <c r="D17" s="13"/>
      <c r="E17" s="13"/>
      <c r="F17" s="13"/>
      <c r="G17" s="13"/>
      <c r="H17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G3" sqref="G3"/>
    </sheetView>
  </sheetViews>
  <sheetFormatPr defaultRowHeight="15" x14ac:dyDescent="0.25"/>
  <cols>
    <col min="1" max="1" width="17.7109375" bestFit="1" customWidth="1"/>
    <col min="2" max="2" width="9" customWidth="1"/>
    <col min="3" max="4" width="16.5703125" bestFit="1" customWidth="1"/>
    <col min="5" max="5" width="9.28515625" customWidth="1"/>
    <col min="6" max="6" width="12.85546875" customWidth="1"/>
    <col min="7" max="7" width="14" customWidth="1"/>
  </cols>
  <sheetData>
    <row r="1" spans="1:7" x14ac:dyDescent="0.25">
      <c r="A1" s="15"/>
      <c r="B1" s="15"/>
      <c r="C1" s="15"/>
      <c r="D1" s="15"/>
      <c r="E1" s="15"/>
      <c r="F1" s="15"/>
      <c r="G1" s="15"/>
    </row>
    <row r="2" spans="1:7" x14ac:dyDescent="0.25">
      <c r="A2" s="14" t="s">
        <v>0</v>
      </c>
      <c r="B2" s="14" t="s">
        <v>1</v>
      </c>
      <c r="C2" s="14" t="s">
        <v>2</v>
      </c>
      <c r="D2" s="14" t="s">
        <v>3</v>
      </c>
      <c r="E2" s="14" t="s">
        <v>90</v>
      </c>
      <c r="F2" s="14" t="s">
        <v>4</v>
      </c>
      <c r="G2" s="14" t="s">
        <v>5</v>
      </c>
    </row>
    <row r="3" spans="1:7" x14ac:dyDescent="0.25">
      <c r="A3" s="5" t="s">
        <v>6</v>
      </c>
      <c r="B3" s="5" t="s">
        <v>7</v>
      </c>
      <c r="C3" s="7">
        <v>13000000</v>
      </c>
      <c r="D3" s="7">
        <v>28000000</v>
      </c>
      <c r="E3" s="5" t="str">
        <f>IF(AND(C3&gt;20000000,D3&gt;20000000), "Baik", "Buruk")</f>
        <v>Buruk</v>
      </c>
      <c r="F3" s="17">
        <f>IF(OR(B3 = "Bandung", B3 = "Surabaya"), 4000000, 5000000)</f>
        <v>4000000</v>
      </c>
      <c r="G3" s="17">
        <f>IF(SUM(C3:D3) &gt; 40000000, 15%*SUM(C3:D3), 10%*SUM(C3:D3))</f>
        <v>6150000</v>
      </c>
    </row>
    <row r="4" spans="1:7" x14ac:dyDescent="0.25">
      <c r="A4" s="5" t="s">
        <v>8</v>
      </c>
      <c r="B4" s="5" t="s">
        <v>9</v>
      </c>
      <c r="C4" s="7">
        <v>21000000</v>
      </c>
      <c r="D4" s="7">
        <v>23000000</v>
      </c>
      <c r="E4" s="5" t="str">
        <f t="shared" ref="E4:E12" si="0">IF(AND(C4&gt;20000000,D4&gt;20000000), "Baik", "Buruk")</f>
        <v>Baik</v>
      </c>
      <c r="F4" s="17">
        <f t="shared" ref="F4:F12" si="1">IF(OR(B4 = "Bandung", B4 = "Surabaya"), 4000000, 5000000)</f>
        <v>5000000</v>
      </c>
      <c r="G4" s="17">
        <f t="shared" ref="G4:G12" si="2">IF(SUM(C4:D4) &gt; 40000000, 15%*SUM(C4:D4), 10%*SUM(C4:D4))</f>
        <v>6600000</v>
      </c>
    </row>
    <row r="5" spans="1:7" x14ac:dyDescent="0.25">
      <c r="A5" s="5" t="s">
        <v>10</v>
      </c>
      <c r="B5" s="5" t="s">
        <v>7</v>
      </c>
      <c r="C5" s="7">
        <v>11000000</v>
      </c>
      <c r="D5" s="7">
        <v>44000000</v>
      </c>
      <c r="E5" s="5" t="str">
        <f t="shared" si="0"/>
        <v>Buruk</v>
      </c>
      <c r="F5" s="17">
        <f t="shared" si="1"/>
        <v>4000000</v>
      </c>
      <c r="G5" s="17">
        <f t="shared" si="2"/>
        <v>8250000</v>
      </c>
    </row>
    <row r="6" spans="1:7" x14ac:dyDescent="0.25">
      <c r="A6" s="5" t="s">
        <v>61</v>
      </c>
      <c r="B6" s="5" t="s">
        <v>11</v>
      </c>
      <c r="C6" s="7">
        <v>12000000</v>
      </c>
      <c r="D6" s="7">
        <v>37000000</v>
      </c>
      <c r="E6" s="5" t="str">
        <f t="shared" si="0"/>
        <v>Buruk</v>
      </c>
      <c r="F6" s="17">
        <f t="shared" si="1"/>
        <v>4000000</v>
      </c>
      <c r="G6" s="17">
        <f t="shared" si="2"/>
        <v>7350000</v>
      </c>
    </row>
    <row r="7" spans="1:7" x14ac:dyDescent="0.25">
      <c r="A7" s="5" t="s">
        <v>12</v>
      </c>
      <c r="B7" s="5" t="s">
        <v>9</v>
      </c>
      <c r="C7" s="7">
        <v>21000000</v>
      </c>
      <c r="D7" s="7">
        <v>36000000</v>
      </c>
      <c r="E7" s="5" t="str">
        <f t="shared" si="0"/>
        <v>Baik</v>
      </c>
      <c r="F7" s="17">
        <f t="shared" si="1"/>
        <v>5000000</v>
      </c>
      <c r="G7" s="17">
        <f t="shared" si="2"/>
        <v>8550000</v>
      </c>
    </row>
    <row r="8" spans="1:7" x14ac:dyDescent="0.25">
      <c r="A8" s="5" t="s">
        <v>13</v>
      </c>
      <c r="B8" s="5" t="s">
        <v>9</v>
      </c>
      <c r="C8" s="7">
        <v>21000000</v>
      </c>
      <c r="D8" s="7">
        <v>16000000</v>
      </c>
      <c r="E8" s="5" t="str">
        <f t="shared" si="0"/>
        <v>Buruk</v>
      </c>
      <c r="F8" s="17">
        <f t="shared" si="1"/>
        <v>5000000</v>
      </c>
      <c r="G8" s="17">
        <f t="shared" si="2"/>
        <v>3700000</v>
      </c>
    </row>
    <row r="9" spans="1:7" x14ac:dyDescent="0.25">
      <c r="A9" s="5" t="s">
        <v>14</v>
      </c>
      <c r="B9" s="5" t="s">
        <v>11</v>
      </c>
      <c r="C9" s="7">
        <v>25000000</v>
      </c>
      <c r="D9" s="7">
        <v>36000000</v>
      </c>
      <c r="E9" s="5" t="str">
        <f t="shared" si="0"/>
        <v>Baik</v>
      </c>
      <c r="F9" s="17">
        <f t="shared" si="1"/>
        <v>4000000</v>
      </c>
      <c r="G9" s="17">
        <f t="shared" si="2"/>
        <v>9150000</v>
      </c>
    </row>
    <row r="10" spans="1:7" x14ac:dyDescent="0.25">
      <c r="A10" s="5" t="s">
        <v>15</v>
      </c>
      <c r="B10" s="5" t="s">
        <v>7</v>
      </c>
      <c r="C10" s="7">
        <v>13000000</v>
      </c>
      <c r="D10" s="7">
        <v>45000000</v>
      </c>
      <c r="E10" s="5" t="str">
        <f t="shared" si="0"/>
        <v>Buruk</v>
      </c>
      <c r="F10" s="17">
        <f t="shared" si="1"/>
        <v>4000000</v>
      </c>
      <c r="G10" s="17">
        <f t="shared" si="2"/>
        <v>8700000</v>
      </c>
    </row>
    <row r="11" spans="1:7" x14ac:dyDescent="0.25">
      <c r="A11" s="5" t="s">
        <v>62</v>
      </c>
      <c r="B11" s="5" t="s">
        <v>9</v>
      </c>
      <c r="C11" s="7">
        <v>24000000</v>
      </c>
      <c r="D11" s="7">
        <v>21000000</v>
      </c>
      <c r="E11" s="5" t="str">
        <f t="shared" si="0"/>
        <v>Baik</v>
      </c>
      <c r="F11" s="17">
        <f t="shared" si="1"/>
        <v>5000000</v>
      </c>
      <c r="G11" s="17">
        <f t="shared" si="2"/>
        <v>6750000</v>
      </c>
    </row>
    <row r="12" spans="1:7" x14ac:dyDescent="0.25">
      <c r="A12" s="5" t="s">
        <v>16</v>
      </c>
      <c r="B12" s="5" t="s">
        <v>11</v>
      </c>
      <c r="C12" s="7">
        <v>29000000</v>
      </c>
      <c r="D12" s="7">
        <v>45000000</v>
      </c>
      <c r="E12" s="5" t="str">
        <f t="shared" si="0"/>
        <v>Baik</v>
      </c>
      <c r="F12" s="17">
        <f t="shared" si="1"/>
        <v>4000000</v>
      </c>
      <c r="G12" s="17">
        <f t="shared" si="2"/>
        <v>11100000</v>
      </c>
    </row>
    <row r="13" spans="1:7" x14ac:dyDescent="0.25">
      <c r="A13" s="13"/>
      <c r="B13" s="13"/>
      <c r="C13" s="13"/>
      <c r="D13" s="13"/>
      <c r="E13" s="13"/>
      <c r="F13" s="13"/>
      <c r="G13" s="13"/>
    </row>
    <row r="14" spans="1:7" x14ac:dyDescent="0.25">
      <c r="A14" s="16" t="s">
        <v>17</v>
      </c>
      <c r="B14" s="3"/>
      <c r="C14" s="13"/>
      <c r="D14" s="13"/>
      <c r="E14" s="13"/>
      <c r="F14" s="13"/>
      <c r="G14" s="13"/>
    </row>
    <row r="15" spans="1:7" x14ac:dyDescent="0.25">
      <c r="A15" s="3" t="s">
        <v>91</v>
      </c>
      <c r="B15" s="13"/>
      <c r="C15" s="13"/>
      <c r="D15" s="13"/>
      <c r="E15" s="13"/>
      <c r="F15" s="13"/>
      <c r="G15" s="13"/>
    </row>
    <row r="16" spans="1:7" x14ac:dyDescent="0.25">
      <c r="A16" s="3" t="s">
        <v>92</v>
      </c>
      <c r="B16" s="13"/>
      <c r="C16" s="13"/>
      <c r="D16" s="13"/>
      <c r="E16" s="13"/>
      <c r="F16" s="13"/>
      <c r="G16" s="13"/>
    </row>
    <row r="17" spans="1:7" x14ac:dyDescent="0.25">
      <c r="A17" s="3" t="s">
        <v>93</v>
      </c>
      <c r="B17" s="13"/>
      <c r="C17" s="13"/>
      <c r="D17" s="13"/>
      <c r="E17" s="13"/>
      <c r="F17" s="13"/>
      <c r="G17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H11"/>
    </sheetView>
  </sheetViews>
  <sheetFormatPr defaultRowHeight="15" x14ac:dyDescent="0.25"/>
  <sheetData>
    <row r="1" spans="1:8" x14ac:dyDescent="0.25">
      <c r="A1" s="14" t="s">
        <v>0</v>
      </c>
      <c r="B1" s="14" t="s">
        <v>66</v>
      </c>
      <c r="C1" s="14" t="s">
        <v>67</v>
      </c>
      <c r="D1" s="14" t="s">
        <v>68</v>
      </c>
      <c r="E1" s="14" t="s">
        <v>69</v>
      </c>
      <c r="F1" s="5"/>
      <c r="G1" s="14" t="s">
        <v>70</v>
      </c>
      <c r="H1" s="14" t="s">
        <v>67</v>
      </c>
    </row>
    <row r="2" spans="1:8" x14ac:dyDescent="0.25">
      <c r="A2" s="5" t="s">
        <v>6</v>
      </c>
      <c r="B2" s="5" t="s">
        <v>71</v>
      </c>
      <c r="C2" s="5"/>
      <c r="D2" s="5"/>
      <c r="E2" s="5"/>
      <c r="F2" s="5"/>
      <c r="G2" s="5" t="s">
        <v>72</v>
      </c>
      <c r="H2" s="5" t="s">
        <v>73</v>
      </c>
    </row>
    <row r="3" spans="1:8" x14ac:dyDescent="0.25">
      <c r="A3" s="5" t="s">
        <v>8</v>
      </c>
      <c r="B3" s="5" t="s">
        <v>71</v>
      </c>
      <c r="C3" s="5"/>
      <c r="D3" s="5"/>
      <c r="E3" s="5"/>
      <c r="F3" s="5"/>
      <c r="G3" s="5" t="s">
        <v>74</v>
      </c>
      <c r="H3" s="5" t="s">
        <v>75</v>
      </c>
    </row>
    <row r="4" spans="1:8" x14ac:dyDescent="0.25">
      <c r="A4" s="5" t="s">
        <v>10</v>
      </c>
      <c r="B4" s="5" t="s">
        <v>76</v>
      </c>
      <c r="C4" s="5"/>
      <c r="D4" s="5"/>
      <c r="E4" s="5"/>
      <c r="F4" s="5"/>
      <c r="G4" s="5"/>
      <c r="H4" s="5"/>
    </row>
    <row r="5" spans="1:8" x14ac:dyDescent="0.25">
      <c r="A5" s="5" t="s">
        <v>61</v>
      </c>
      <c r="B5" s="5" t="s">
        <v>71</v>
      </c>
      <c r="C5" s="5"/>
      <c r="D5" s="5"/>
      <c r="E5" s="5"/>
      <c r="F5" s="5"/>
      <c r="G5" s="5"/>
      <c r="H5" s="5"/>
    </row>
    <row r="6" spans="1:8" x14ac:dyDescent="0.25">
      <c r="A6" s="5" t="s">
        <v>12</v>
      </c>
      <c r="B6" s="5" t="s">
        <v>77</v>
      </c>
      <c r="C6" s="5"/>
      <c r="D6" s="5"/>
      <c r="E6" s="5"/>
      <c r="F6" s="5"/>
      <c r="G6" s="14" t="s">
        <v>78</v>
      </c>
      <c r="H6" s="14" t="s">
        <v>69</v>
      </c>
    </row>
    <row r="7" spans="1:8" x14ac:dyDescent="0.25">
      <c r="A7" s="5" t="s">
        <v>13</v>
      </c>
      <c r="B7" s="5" t="s">
        <v>79</v>
      </c>
      <c r="C7" s="5"/>
      <c r="D7" s="5"/>
      <c r="E7" s="5"/>
      <c r="F7" s="5"/>
      <c r="G7" s="5" t="s">
        <v>80</v>
      </c>
      <c r="H7" s="5" t="s">
        <v>81</v>
      </c>
    </row>
    <row r="8" spans="1:8" x14ac:dyDescent="0.25">
      <c r="A8" s="5" t="s">
        <v>14</v>
      </c>
      <c r="B8" s="5" t="s">
        <v>82</v>
      </c>
      <c r="C8" s="5"/>
      <c r="D8" s="5"/>
      <c r="E8" s="5"/>
      <c r="F8" s="5"/>
      <c r="G8" s="5" t="s">
        <v>83</v>
      </c>
      <c r="H8" s="5" t="s">
        <v>84</v>
      </c>
    </row>
    <row r="9" spans="1:8" x14ac:dyDescent="0.25">
      <c r="A9" s="5" t="s">
        <v>15</v>
      </c>
      <c r="B9" s="5" t="s">
        <v>77</v>
      </c>
      <c r="C9" s="5"/>
      <c r="D9" s="5"/>
      <c r="E9" s="5"/>
      <c r="F9" s="5"/>
      <c r="G9" s="5"/>
      <c r="H9" s="5"/>
    </row>
    <row r="10" spans="1:8" x14ac:dyDescent="0.25">
      <c r="A10" s="5" t="s">
        <v>62</v>
      </c>
      <c r="B10" s="5" t="s">
        <v>76</v>
      </c>
      <c r="C10" s="5"/>
      <c r="D10" s="5"/>
      <c r="E10" s="5"/>
      <c r="F10" s="5"/>
      <c r="G10" s="5"/>
      <c r="H10" s="5"/>
    </row>
    <row r="11" spans="1:8" x14ac:dyDescent="0.25">
      <c r="A11" s="5" t="s">
        <v>16</v>
      </c>
      <c r="B11" s="5" t="s">
        <v>85</v>
      </c>
      <c r="C11" s="5"/>
      <c r="D11" s="5"/>
      <c r="E11" s="5"/>
      <c r="F11" s="5"/>
      <c r="G11" s="5"/>
      <c r="H11" s="5"/>
    </row>
    <row r="12" spans="1:8" x14ac:dyDescent="0.25">
      <c r="A12" s="13"/>
      <c r="B12" s="13"/>
      <c r="C12" s="13"/>
      <c r="D12" s="13"/>
      <c r="E12" s="13"/>
      <c r="F12" s="13"/>
      <c r="G12" s="13"/>
      <c r="H12" s="13"/>
    </row>
    <row r="13" spans="1:8" x14ac:dyDescent="0.25">
      <c r="A13" s="16" t="s">
        <v>17</v>
      </c>
      <c r="B13" s="13"/>
      <c r="C13" s="13"/>
      <c r="D13" s="13"/>
      <c r="E13" s="13"/>
      <c r="F13" s="13"/>
      <c r="G13" s="13"/>
      <c r="H13" s="13"/>
    </row>
    <row r="14" spans="1:8" x14ac:dyDescent="0.25">
      <c r="A14" s="3" t="s">
        <v>86</v>
      </c>
      <c r="B14" s="13"/>
      <c r="C14" s="13"/>
      <c r="D14" s="13"/>
      <c r="E14" s="13"/>
      <c r="F14" s="13"/>
      <c r="G14" s="13"/>
      <c r="H14" s="13"/>
    </row>
    <row r="15" spans="1:8" x14ac:dyDescent="0.25">
      <c r="A15" s="3" t="s">
        <v>87</v>
      </c>
      <c r="B15" s="13"/>
      <c r="C15" s="13"/>
      <c r="D15" s="13"/>
      <c r="E15" s="13"/>
      <c r="F15" s="13"/>
      <c r="G15" s="13"/>
      <c r="H15" s="13"/>
    </row>
    <row r="16" spans="1:8" x14ac:dyDescent="0.25">
      <c r="A16" s="3" t="s">
        <v>88</v>
      </c>
      <c r="B16" s="13"/>
      <c r="C16" s="13"/>
      <c r="D16" s="13"/>
      <c r="E16" s="13"/>
      <c r="F16" s="13"/>
      <c r="G16" s="13"/>
      <c r="H16" s="13"/>
    </row>
    <row r="17" spans="1:8" x14ac:dyDescent="0.25">
      <c r="A17" s="3" t="s">
        <v>89</v>
      </c>
      <c r="B17" s="13"/>
      <c r="C17" s="13"/>
      <c r="D17" s="13"/>
      <c r="E17" s="13"/>
      <c r="F17" s="13"/>
      <c r="G17" s="13"/>
      <c r="H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 SINGLE</vt:lpstr>
      <vt:lpstr>IF BERTINGKAT</vt:lpstr>
      <vt:lpstr>IF dengan LEFT, MID, RIGHT</vt:lpstr>
      <vt:lpstr>IF(AND, OR)</vt:lpstr>
      <vt:lpstr>IF dengan LEFT MID RIGHT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fbrn .</dc:creator>
  <cp:lastModifiedBy>fbrn .</cp:lastModifiedBy>
  <dcterms:created xsi:type="dcterms:W3CDTF">2026-06-30T03:26:45Z</dcterms:created>
  <dcterms:modified xsi:type="dcterms:W3CDTF">2026-06-30T04:21:31Z</dcterms:modified>
</cp:coreProperties>
</file>